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4"/>
    <sheet state="visible" name="Dashboard" sheetId="2" r:id="rId5"/>
  </sheets>
  <definedNames>
    <definedName hidden="1" localSheetId="0" name="_xlnm._FilterDatabase">Tasks!$B$1:$B$1004</definedName>
  </definedNames>
  <calcPr/>
  <extLst>
    <ext uri="GoogleSheetsCustomDataVersion2">
      <go:sheetsCustomData xmlns:go="http://customooxmlschemas.google.com/" r:id="rId6" roundtripDataChecksum="poRLHckhi41ZkuJ6TQ3XQ4ualFytKT21J5nf+WEn/m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======
ID#AAACEME7imk
Alan He    (2026-07-28 21:07:01)
@luv2000ken@gmail.com , can i change to 0.Setup</t>
      </text>
    </comment>
  </commentList>
  <extLst>
    <ext uri="GoogleSheetsCustomDataVersion2">
      <go:sheetsCustomData xmlns:go="http://customooxmlschemas.google.com/" r:id="rId1" roundtripDataSignature="AMtx7mhLodOFhRoDVbj0JKbWa5v1bw368g=="/>
    </ext>
  </extLst>
</comments>
</file>

<file path=xl/sharedStrings.xml><?xml version="1.0" encoding="utf-8"?>
<sst xmlns="http://schemas.openxmlformats.org/spreadsheetml/2006/main" count="438" uniqueCount="200">
  <si>
    <t>Owner</t>
  </si>
  <si>
    <t>Total Tasks</t>
  </si>
  <si>
    <t>Not Started</t>
  </si>
  <si>
    <t>In Progress</t>
  </si>
  <si>
    <t>Blocked</t>
  </si>
  <si>
    <t>Done</t>
  </si>
  <si>
    <t>Dev A</t>
  </si>
  <si>
    <t>Track</t>
  </si>
  <si>
    <t>Phase</t>
  </si>
  <si>
    <t>Task #</t>
  </si>
  <si>
    <t>Task</t>
  </si>
  <si>
    <t>Status</t>
  </si>
  <si>
    <t>Dependencies / Notes</t>
  </si>
  <si>
    <t>C - Data/Content/Platform</t>
  </si>
  <si>
    <t>Alan</t>
  </si>
  <si>
    <t>0. Setup</t>
  </si>
  <si>
    <t>Dev B</t>
  </si>
  <si>
    <t>1</t>
  </si>
  <si>
    <t>Create repo structure (/frontend, /backend, /docs)</t>
  </si>
  <si>
    <t>All three agree on structure Week 1</t>
  </si>
  <si>
    <t>Dev C (Leader)</t>
  </si>
  <si>
    <t>2</t>
  </si>
  <si>
    <t>Provision Supabase project (Postgres + Storage)</t>
  </si>
  <si>
    <t>3</t>
  </si>
  <si>
    <t>Get MyScript iink API keys</t>
  </si>
  <si>
    <t>4</t>
  </si>
  <si>
    <t>Set up hosting accounts (Vercel, Railway/Render)</t>
  </si>
  <si>
    <t>Dev B + C</t>
  </si>
  <si>
    <t>All</t>
  </si>
  <si>
    <t>All (led by C)</t>
  </si>
  <si>
    <t>I suggest to just use private api call for access</t>
  </si>
  <si>
    <t>1. Data Layer</t>
  </si>
  <si>
    <t>7</t>
  </si>
  <si>
    <t>Write SQL migrations / table definitions</t>
  </si>
  <si>
    <t>Depends on #6</t>
  </si>
  <si>
    <t>Richard</t>
  </si>
  <si>
    <t>8</t>
  </si>
  <si>
    <t>Seed problems table (~20-30 problems), sourced via school contacts</t>
  </si>
  <si>
    <t>Leverage school relationship for real curriculum content</t>
  </si>
  <si>
    <t>Jeff</t>
  </si>
  <si>
    <t>9</t>
  </si>
  <si>
    <t>Seed misconception_rules and hints with first batch</t>
  </si>
  <si>
    <t>Coordinate wording/format with Dev B</t>
  </si>
  <si>
    <t>TOTAL</t>
  </si>
  <si>
    <t>10</t>
  </si>
  <si>
    <t>Enable Supabase Row Level Security policies</t>
  </si>
  <si>
    <t>Sync</t>
  </si>
  <si>
    <t>11</t>
  </si>
  <si>
    <t>Week 1: agree API contract / Pydantic schema across all 3 tracks</t>
  </si>
  <si>
    <t>Hard sync point - do before splitting off, see doc at math-tutor-mvp/docs/api_contract_draft_20260728.md</t>
  </si>
  <si>
    <t>11. Security</t>
  </si>
  <si>
    <t>47</t>
  </si>
  <si>
    <t>Enforce HTTPS everywhere</t>
  </si>
  <si>
    <t>48</t>
  </si>
  <si>
    <t>Keep MyScript/Supabase keys server-side only</t>
  </si>
  <si>
    <t>49</t>
  </si>
  <si>
    <t>Store LaTeX only, not raw ink strokes, by default</t>
  </si>
  <si>
    <t>50</t>
  </si>
  <si>
    <t>Add simple student access code</t>
  </si>
  <si>
    <t>Tied to UI</t>
  </si>
  <si>
    <t>51</t>
  </si>
  <si>
    <t>Tighten Supabase RLS policies once access code exists</t>
  </si>
  <si>
    <t>Depends on #50</t>
  </si>
  <si>
    <t>12. Testing/QA</t>
  </si>
  <si>
    <t>54</t>
  </si>
  <si>
    <t>Organize manual QA with real kids' handwriting via school</t>
  </si>
  <si>
    <t>Dev A + B support</t>
  </si>
  <si>
    <t>55</t>
  </si>
  <si>
    <t>Verify curriculum coverage vs SLO tussendoelen groep 7/8</t>
  </si>
  <si>
    <t>13. Deployment</t>
  </si>
  <si>
    <t>56</t>
  </si>
  <si>
    <t>Deploy backend to Railway/Render, connect Supabase</t>
  </si>
  <si>
    <t>Depends on B's backend</t>
  </si>
  <si>
    <t>57</t>
  </si>
  <si>
    <t>Deploy frontend to Vercel, point at backend API URL</t>
  </si>
  <si>
    <t>Depends on A's frontend</t>
  </si>
  <si>
    <t>58</t>
  </si>
  <si>
    <t>Smoke-test production environment end-to-end</t>
  </si>
  <si>
    <t>59</t>
  </si>
  <si>
    <t>Set up monitoring / error logging (e.g. Sentry)</t>
  </si>
  <si>
    <t>14. Content</t>
  </si>
  <si>
    <t>60</t>
  </si>
  <si>
    <t>Expand problem bank across all rekenen domains</t>
  </si>
  <si>
    <t>Post-MVP not relavant for now</t>
  </si>
  <si>
    <t>61</t>
  </si>
  <si>
    <t>Expand misconception rule library from real usage data</t>
  </si>
  <si>
    <t>62</t>
  </si>
  <si>
    <t>Iterate hint wording based on observed confusion</t>
  </si>
  <si>
    <t>6</t>
  </si>
  <si>
    <t>Design Supabase schema: problems, attempts, attempt_steps, misconception_rules, hints</t>
  </si>
  <si>
    <t>Blocks B's DB client work</t>
  </si>
  <si>
    <t>B - Backend/Math Engine</t>
  </si>
  <si>
    <t>2. Backend Skeleton</t>
  </si>
  <si>
    <t>12</t>
  </si>
  <si>
    <t>Scaffold FastAPI project with Pydantic models</t>
  </si>
  <si>
    <t>Depends on #11 API contract</t>
  </si>
  <si>
    <t>13</t>
  </si>
  <si>
    <t>Set up Supabase Python client / DB connection layer</t>
  </si>
  <si>
    <t>Depends on #6/#7</t>
  </si>
  <si>
    <t>14</t>
  </si>
  <si>
    <t>Implement GET /problems/{id}</t>
  </si>
  <si>
    <t>15</t>
  </si>
  <si>
    <t>Implement POST /attempts (persist attempt + steps)</t>
  </si>
  <si>
    <t>16</t>
  </si>
  <si>
    <t>Add error handling, validation, logging</t>
  </si>
  <si>
    <t>3. Recognition</t>
  </si>
  <si>
    <t>18</t>
  </si>
  <si>
    <t>Build Recognition Service wrapper around MyScript API</t>
  </si>
  <si>
    <t>Depends on #3 API keys</t>
  </si>
  <si>
    <t>19</t>
  </si>
  <si>
    <t>Implement POST /recognize endpoint</t>
  </si>
  <si>
    <t>21</t>
  </si>
  <si>
    <t>Handle low-confidence recognition (flag for confirmation)</t>
  </si>
  <si>
    <t>4. Math Parser</t>
  </si>
  <si>
    <t>22</t>
  </si>
  <si>
    <t>Implement LaTeX to SymPy expression parsing</t>
  </si>
  <si>
    <t>23</t>
  </si>
  <si>
    <t>Build canonical-form normalizer</t>
  </si>
  <si>
    <t>24</t>
  </si>
  <si>
    <t>Unit test parser: fractions, mixed numbers, decimals, negatives</t>
  </si>
  <si>
    <t>5. Step Evaluator</t>
  </si>
  <si>
    <t>25</t>
  </si>
  <si>
    <t>Implement expression validity check</t>
  </si>
  <si>
    <t>26</t>
  </si>
  <si>
    <t>Implement internal math correctness check</t>
  </si>
  <si>
    <t>27</t>
  </si>
  <si>
    <t>Implement transition validity check (legal derivation)</t>
  </si>
  <si>
    <t>28</t>
  </si>
  <si>
    <t>Return structured EvaluationResult per step</t>
  </si>
  <si>
    <t>6. Misconception Detector</t>
  </si>
  <si>
    <t>29</t>
  </si>
  <si>
    <t>Define rule format for misconception_rules</t>
  </si>
  <si>
    <t>Coordinate with Dev C on content</t>
  </si>
  <si>
    <t>30</t>
  </si>
  <si>
    <t>Implement rule-matching engine</t>
  </si>
  <si>
    <t>Needs seed rules from #9</t>
  </si>
  <si>
    <t>31</t>
  </si>
  <si>
    <t>Return misconception_id or null fallback</t>
  </si>
  <si>
    <t>7. Tutor/Hint Service</t>
  </si>
  <si>
    <t>33</t>
  </si>
  <si>
    <t>Map misconception_id to approved hint message</t>
  </si>
  <si>
    <t>Needs seed hints from #9</t>
  </si>
  <si>
    <t>34</t>
  </si>
  <si>
    <t>Implement fallback generic hint</t>
  </si>
  <si>
    <t>35</t>
  </si>
  <si>
    <t>Decide hint tone/language (Dutch, age-appropriate)</t>
  </si>
  <si>
    <t>Dev C validates with school</t>
  </si>
  <si>
    <t>8. Orchestration</t>
  </si>
  <si>
    <t>36</t>
  </si>
  <si>
    <t>Implement pipeline: receive -&gt; recognize -&gt; parse -&gt; validate -&gt; detect -&gt; return</t>
  </si>
  <si>
    <t>37</t>
  </si>
  <si>
    <t>Wire POST /attempts/check to full pipeline</t>
  </si>
  <si>
    <t>38</t>
  </si>
  <si>
    <t>Add timing/logging at each pipeline stage</t>
  </si>
  <si>
    <t>52</t>
  </si>
  <si>
    <t>Unit tests: parser, evaluator, misconception matcher</t>
  </si>
  <si>
    <t>53</t>
  </si>
  <si>
    <t>Integration tests: full /attempts/check pipeline</t>
  </si>
  <si>
    <t>A - Frontend</t>
  </si>
  <si>
    <t>0-3. Client Setup</t>
  </si>
  <si>
    <t>1b</t>
  </si>
  <si>
    <t>Scaffold Next.js + Tailwind project</t>
  </si>
  <si>
    <t>Depends on #1 repo structure, PR is pending.</t>
  </si>
  <si>
    <t>3. Recognition (client)</t>
  </si>
  <si>
    <t>17</t>
  </si>
  <si>
    <t>Integrate MyScript iink Web SDK for ink capture</t>
  </si>
  <si>
    <t>20</t>
  </si>
  <si>
    <t>Add manual Edit fallback for recognized LaTeX</t>
  </si>
  <si>
    <t>9. Frontend Client</t>
  </si>
  <si>
    <t>39</t>
  </si>
  <si>
    <t>Build problem display component (question + KaTeX)</t>
  </si>
  <si>
    <t>40</t>
  </si>
  <si>
    <t>Build step-entry UI: rectangular ink boxes per step</t>
  </si>
  <si>
    <t>41</t>
  </si>
  <si>
    <t>Add recognition preview with Confirm/Edit controls</t>
  </si>
  <si>
    <t>42</t>
  </si>
  <si>
    <t>Add +Add next step / delete-step controls</t>
  </si>
  <si>
    <t>43</t>
  </si>
  <si>
    <t>Build 'Check my working' action, render feedback + hints</t>
  </si>
  <si>
    <t>Can build against mocked API first</t>
  </si>
  <si>
    <t>44</t>
  </si>
  <si>
    <t>Add Clear action + client-side state management</t>
  </si>
  <si>
    <t>10. Integration</t>
  </si>
  <si>
    <t>45</t>
  </si>
  <si>
    <t>Connect frontend to real backend endpoints (replace mocks)</t>
  </si>
  <si>
    <t>Depends on B's endpoints live</t>
  </si>
  <si>
    <t>46</t>
  </si>
  <si>
    <t>Test full end-to-end flow with Jeff</t>
  </si>
  <si>
    <t>Depends on #45</t>
  </si>
  <si>
    <t>46b</t>
  </si>
  <si>
    <t>Handle network/error states in UI (recognition failure, timeout)</t>
  </si>
  <si>
    <t>Actions</t>
  </si>
  <si>
    <t>Next Meeting</t>
  </si>
  <si>
    <t>1. Define DoD/Deliverables.</t>
  </si>
  <si>
    <t>2.Aug</t>
  </si>
  <si>
    <t>2. Break down to tasks.</t>
  </si>
  <si>
    <t xml:space="preserve">3. Review each other to be sure we aligned on expecations. </t>
  </si>
  <si>
    <t>4. Impl.</t>
  </si>
  <si>
    <t>Goal of 1st MVP</t>
  </si>
  <si>
    <t>22.Aug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</si>
</sst>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2EFDA"/>
        <bgColor rgb="FFE2EFDA"/>
      </patternFill>
    </fill>
    <fill>
      <patternFill patternType="solid">
        <fgColor rgb="FFFF0000"/>
        <bgColor rgb="FFFF0000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3" fontId="2" numFmtId="0" xfId="0" applyAlignment="1" applyBorder="1" applyFont="1">
      <alignment shrinkToFit="0" vertical="center" wrapText="1"/>
    </xf>
    <xf borderId="0" fillId="3" fontId="3" numFmtId="0" xfId="0" applyFont="1"/>
    <xf borderId="1" fillId="4" fontId="2" numFmtId="0" xfId="0" applyAlignment="1" applyBorder="1" applyFill="1" applyFont="1">
      <alignment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horizontal="left" readingOrder="0" shrinkToFit="0" vertical="center" wrapText="0"/>
    </xf>
    <xf borderId="1" fillId="4" fontId="2" numFmtId="0" xfId="0" applyAlignment="1" applyBorder="1" applyFont="1">
      <alignment readingOrder="0" shrinkToFit="0" vertical="center" wrapText="1"/>
    </xf>
    <xf borderId="0" fillId="4" fontId="3" numFmtId="0" xfId="0" applyFont="1"/>
    <xf borderId="1" fillId="5" fontId="2" numFmtId="0" xfId="0" applyAlignment="1" applyBorder="1" applyFill="1" applyFont="1">
      <alignment shrinkToFit="0" vertical="center" wrapText="0"/>
    </xf>
    <xf borderId="1" fillId="5" fontId="2" numFmtId="0" xfId="0" applyAlignment="1" applyBorder="1" applyFont="1">
      <alignment readingOrder="0" shrinkToFit="0" vertical="center" wrapText="0"/>
    </xf>
    <xf borderId="1" fillId="5" fontId="2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bottom" wrapText="0"/>
    </xf>
    <xf borderId="1" fillId="4" fontId="2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readingOrder="0" shrinkToFit="0" vertical="center" wrapText="1"/>
    </xf>
    <xf borderId="1" fillId="6" fontId="2" numFmtId="0" xfId="0" applyAlignment="1" applyBorder="1" applyFill="1" applyFont="1">
      <alignment shrinkToFit="0" vertical="center" wrapText="0"/>
    </xf>
    <xf borderId="1" fillId="6" fontId="2" numFmtId="0" xfId="0" applyAlignment="1" applyBorder="1" applyFont="1">
      <alignment readingOrder="0" shrinkToFit="0" vertical="center" wrapText="0"/>
    </xf>
    <xf borderId="1" fillId="6" fontId="2" numFmtId="0" xfId="0" applyAlignment="1" applyBorder="1" applyFont="1">
      <alignment shrinkToFit="0" vertical="center" wrapText="1"/>
    </xf>
    <xf borderId="1" fillId="6" fontId="2" numFmtId="0" xfId="0" applyAlignment="1" applyBorder="1" applyFont="1">
      <alignment readingOrder="0" shrinkToFit="0" vertical="center" wrapText="1"/>
    </xf>
    <xf borderId="0" fillId="6" fontId="3" numFmtId="0" xfId="0" applyFont="1"/>
    <xf borderId="1" fillId="7" fontId="2" numFmtId="0" xfId="0" applyAlignment="1" applyBorder="1" applyFill="1" applyFont="1">
      <alignment shrinkToFit="0" vertical="center" wrapText="0"/>
    </xf>
    <xf borderId="1" fillId="7" fontId="2" numFmtId="0" xfId="0" applyAlignment="1" applyBorder="1" applyFont="1">
      <alignment shrinkToFit="0" vertical="center" wrapText="1"/>
    </xf>
    <xf borderId="1" fillId="7" fontId="2" numFmtId="0" xfId="0" applyAlignment="1" applyBorder="1" applyFont="1">
      <alignment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8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8" fontId="2" numFmtId="0" xfId="0" applyAlignment="1" applyBorder="1" applyFont="1">
      <alignment readingOrder="0" shrinkToFit="0" vertical="center" wrapText="0"/>
    </xf>
    <xf borderId="1" fillId="8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71</xdr:row>
      <xdr:rowOff>85725</xdr:rowOff>
    </xdr:from>
    <xdr:ext cx="3209925" cy="1343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4.14"/>
    <col customWidth="1" min="3" max="3" width="20.0"/>
    <col customWidth="1" min="4" max="4" width="16.71"/>
    <col customWidth="1" min="5" max="5" width="55.0"/>
    <col customWidth="1" min="6" max="6" width="14.0"/>
    <col customWidth="1" min="7" max="7" width="57.43"/>
    <col customWidth="1" min="8" max="26" width="8.71"/>
  </cols>
  <sheetData>
    <row r="1">
      <c r="A1" s="3" t="s">
        <v>7</v>
      </c>
      <c r="B1" s="3" t="s">
        <v>0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</row>
    <row r="2">
      <c r="A2" s="5" t="s">
        <v>13</v>
      </c>
      <c r="B2" s="6" t="s">
        <v>14</v>
      </c>
      <c r="C2" s="5" t="s">
        <v>15</v>
      </c>
      <c r="D2" s="5" t="s">
        <v>17</v>
      </c>
      <c r="E2" s="7" t="s">
        <v>18</v>
      </c>
      <c r="F2" s="6" t="s">
        <v>5</v>
      </c>
      <c r="G2" s="7" t="s">
        <v>19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13</v>
      </c>
      <c r="B3" s="6" t="s">
        <v>14</v>
      </c>
      <c r="C3" s="5" t="s">
        <v>15</v>
      </c>
      <c r="D3" s="5" t="s">
        <v>21</v>
      </c>
      <c r="E3" s="7" t="s">
        <v>22</v>
      </c>
      <c r="F3" s="6" t="s">
        <v>5</v>
      </c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13</v>
      </c>
      <c r="B4" s="6" t="s">
        <v>14</v>
      </c>
      <c r="C4" s="5" t="s">
        <v>15</v>
      </c>
      <c r="D4" s="5" t="s">
        <v>23</v>
      </c>
      <c r="E4" s="7" t="s">
        <v>24</v>
      </c>
      <c r="F4" s="6" t="s">
        <v>5</v>
      </c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 t="s">
        <v>13</v>
      </c>
      <c r="B5" s="6" t="s">
        <v>14</v>
      </c>
      <c r="C5" s="5" t="s">
        <v>15</v>
      </c>
      <c r="D5" s="5" t="s">
        <v>25</v>
      </c>
      <c r="E5" s="7" t="s">
        <v>26</v>
      </c>
      <c r="F5" s="6" t="s">
        <v>5</v>
      </c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13</v>
      </c>
      <c r="B6" s="10" t="s">
        <v>28</v>
      </c>
      <c r="C6" s="9" t="s">
        <v>13</v>
      </c>
      <c r="D6" s="11">
        <v>5.0</v>
      </c>
      <c r="E6" s="9" t="s">
        <v>13</v>
      </c>
      <c r="F6" s="10" t="s">
        <v>3</v>
      </c>
      <c r="G6" s="12" t="s">
        <v>30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8">
      <c r="A8" s="14" t="s">
        <v>13</v>
      </c>
      <c r="B8" s="15" t="s">
        <v>28</v>
      </c>
      <c r="C8" s="14" t="s">
        <v>31</v>
      </c>
      <c r="D8" s="14" t="s">
        <v>32</v>
      </c>
      <c r="E8" s="16" t="s">
        <v>33</v>
      </c>
      <c r="F8" s="14" t="s">
        <v>2</v>
      </c>
      <c r="G8" s="16" t="s">
        <v>34</v>
      </c>
    </row>
    <row r="9">
      <c r="A9" s="14" t="s">
        <v>13</v>
      </c>
      <c r="B9" s="15" t="s">
        <v>35</v>
      </c>
      <c r="C9" s="14" t="s">
        <v>31</v>
      </c>
      <c r="D9" s="14" t="s">
        <v>36</v>
      </c>
      <c r="E9" s="16" t="s">
        <v>37</v>
      </c>
      <c r="F9" s="14" t="s">
        <v>2</v>
      </c>
      <c r="G9" s="16" t="s">
        <v>38</v>
      </c>
    </row>
    <row r="10">
      <c r="A10" s="14" t="s">
        <v>13</v>
      </c>
      <c r="B10" s="15" t="s">
        <v>39</v>
      </c>
      <c r="C10" s="14" t="s">
        <v>31</v>
      </c>
      <c r="D10" s="14" t="s">
        <v>40</v>
      </c>
      <c r="E10" s="16" t="s">
        <v>41</v>
      </c>
      <c r="F10" s="14" t="s">
        <v>2</v>
      </c>
      <c r="G10" s="16" t="s">
        <v>42</v>
      </c>
    </row>
    <row r="11">
      <c r="A11" s="14" t="s">
        <v>13</v>
      </c>
      <c r="B11" s="15" t="s">
        <v>28</v>
      </c>
      <c r="C11" s="14" t="s">
        <v>31</v>
      </c>
      <c r="D11" s="14" t="s">
        <v>44</v>
      </c>
      <c r="E11" s="16" t="s">
        <v>45</v>
      </c>
      <c r="F11" s="14" t="s">
        <v>2</v>
      </c>
      <c r="G11" s="16"/>
    </row>
    <row r="12">
      <c r="A12" s="9" t="s">
        <v>13</v>
      </c>
      <c r="B12" s="9" t="s">
        <v>29</v>
      </c>
      <c r="C12" s="9" t="s">
        <v>46</v>
      </c>
      <c r="D12" s="9" t="s">
        <v>47</v>
      </c>
      <c r="E12" s="18" t="s">
        <v>48</v>
      </c>
      <c r="F12" s="10" t="s">
        <v>3</v>
      </c>
      <c r="G12" s="12" t="s">
        <v>49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4" t="s">
        <v>13</v>
      </c>
      <c r="B13" s="15" t="s">
        <v>28</v>
      </c>
      <c r="C13" s="14" t="s">
        <v>50</v>
      </c>
      <c r="D13" s="14" t="s">
        <v>51</v>
      </c>
      <c r="E13" s="16" t="s">
        <v>52</v>
      </c>
      <c r="F13" s="14" t="s">
        <v>2</v>
      </c>
      <c r="G13" s="16"/>
    </row>
    <row r="14">
      <c r="A14" s="5" t="s">
        <v>13</v>
      </c>
      <c r="B14" s="6" t="s">
        <v>14</v>
      </c>
      <c r="C14" s="5" t="s">
        <v>50</v>
      </c>
      <c r="D14" s="5" t="s">
        <v>53</v>
      </c>
      <c r="E14" s="7" t="s">
        <v>54</v>
      </c>
      <c r="F14" s="6" t="s">
        <v>5</v>
      </c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4" t="s">
        <v>13</v>
      </c>
      <c r="B15" s="15" t="s">
        <v>14</v>
      </c>
      <c r="C15" s="14" t="s">
        <v>50</v>
      </c>
      <c r="D15" s="14" t="s">
        <v>55</v>
      </c>
      <c r="E15" s="16" t="s">
        <v>56</v>
      </c>
      <c r="F15" s="14" t="s">
        <v>2</v>
      </c>
      <c r="G15" s="16"/>
    </row>
    <row r="16">
      <c r="A16" s="14" t="s">
        <v>13</v>
      </c>
      <c r="B16" s="15" t="s">
        <v>14</v>
      </c>
      <c r="C16" s="14" t="s">
        <v>50</v>
      </c>
      <c r="D16" s="14" t="s">
        <v>57</v>
      </c>
      <c r="E16" s="16" t="s">
        <v>58</v>
      </c>
      <c r="F16" s="14" t="s">
        <v>2</v>
      </c>
      <c r="G16" s="19" t="s">
        <v>59</v>
      </c>
    </row>
    <row r="17">
      <c r="A17" s="14" t="s">
        <v>13</v>
      </c>
      <c r="B17" s="15" t="s">
        <v>28</v>
      </c>
      <c r="C17" s="14" t="s">
        <v>50</v>
      </c>
      <c r="D17" s="14" t="s">
        <v>60</v>
      </c>
      <c r="E17" s="16" t="s">
        <v>61</v>
      </c>
      <c r="F17" s="14" t="s">
        <v>2</v>
      </c>
      <c r="G17" s="16" t="s">
        <v>62</v>
      </c>
    </row>
    <row r="18">
      <c r="A18" s="14" t="s">
        <v>13</v>
      </c>
      <c r="B18" s="15" t="s">
        <v>28</v>
      </c>
      <c r="C18" s="14" t="s">
        <v>63</v>
      </c>
      <c r="D18" s="14" t="s">
        <v>64</v>
      </c>
      <c r="E18" s="16" t="s">
        <v>65</v>
      </c>
      <c r="F18" s="14" t="s">
        <v>2</v>
      </c>
      <c r="G18" s="16" t="s">
        <v>66</v>
      </c>
    </row>
    <row r="19">
      <c r="A19" s="14" t="s">
        <v>13</v>
      </c>
      <c r="B19" s="15" t="s">
        <v>35</v>
      </c>
      <c r="C19" s="14" t="s">
        <v>63</v>
      </c>
      <c r="D19" s="14" t="s">
        <v>67</v>
      </c>
      <c r="E19" s="16" t="s">
        <v>68</v>
      </c>
      <c r="F19" s="14" t="s">
        <v>2</v>
      </c>
      <c r="G19" s="16"/>
    </row>
    <row r="20">
      <c r="A20" s="14" t="s">
        <v>13</v>
      </c>
      <c r="B20" s="15" t="s">
        <v>28</v>
      </c>
      <c r="C20" s="14" t="s">
        <v>69</v>
      </c>
      <c r="D20" s="14" t="s">
        <v>70</v>
      </c>
      <c r="E20" s="16" t="s">
        <v>71</v>
      </c>
      <c r="F20" s="14" t="s">
        <v>2</v>
      </c>
      <c r="G20" s="16" t="s">
        <v>72</v>
      </c>
    </row>
    <row r="21" ht="15.75" customHeight="1">
      <c r="A21" s="14" t="s">
        <v>13</v>
      </c>
      <c r="B21" s="15" t="s">
        <v>14</v>
      </c>
      <c r="C21" s="14" t="s">
        <v>69</v>
      </c>
      <c r="D21" s="14" t="s">
        <v>73</v>
      </c>
      <c r="E21" s="16" t="s">
        <v>74</v>
      </c>
      <c r="F21" s="14" t="s">
        <v>2</v>
      </c>
      <c r="G21" s="16" t="s">
        <v>75</v>
      </c>
    </row>
    <row r="22" ht="15.75" customHeight="1">
      <c r="A22" s="14" t="s">
        <v>13</v>
      </c>
      <c r="B22" s="14" t="s">
        <v>28</v>
      </c>
      <c r="C22" s="14" t="s">
        <v>69</v>
      </c>
      <c r="D22" s="14" t="s">
        <v>76</v>
      </c>
      <c r="E22" s="16" t="s">
        <v>77</v>
      </c>
      <c r="F22" s="14" t="s">
        <v>2</v>
      </c>
      <c r="G22" s="16"/>
    </row>
    <row r="23" ht="15.75" customHeight="1">
      <c r="A23" s="14" t="s">
        <v>13</v>
      </c>
      <c r="B23" s="14" t="s">
        <v>20</v>
      </c>
      <c r="C23" s="14" t="s">
        <v>69</v>
      </c>
      <c r="D23" s="14" t="s">
        <v>78</v>
      </c>
      <c r="E23" s="16" t="s">
        <v>79</v>
      </c>
      <c r="F23" s="14" t="s">
        <v>2</v>
      </c>
      <c r="G23" s="16"/>
    </row>
    <row r="24" ht="15.75" customHeight="1">
      <c r="A24" s="20" t="s">
        <v>13</v>
      </c>
      <c r="B24" s="21" t="s">
        <v>35</v>
      </c>
      <c r="C24" s="20" t="s">
        <v>80</v>
      </c>
      <c r="D24" s="20" t="s">
        <v>81</v>
      </c>
      <c r="E24" s="22" t="s">
        <v>82</v>
      </c>
      <c r="F24" s="21" t="s">
        <v>4</v>
      </c>
      <c r="G24" s="23" t="s">
        <v>83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20" t="s">
        <v>13</v>
      </c>
      <c r="B25" s="21" t="s">
        <v>39</v>
      </c>
      <c r="C25" s="20" t="s">
        <v>80</v>
      </c>
      <c r="D25" s="20" t="s">
        <v>84</v>
      </c>
      <c r="E25" s="22" t="s">
        <v>85</v>
      </c>
      <c r="F25" s="21" t="s">
        <v>4</v>
      </c>
      <c r="G25" s="23" t="s">
        <v>83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20" t="s">
        <v>13</v>
      </c>
      <c r="B26" s="21" t="s">
        <v>39</v>
      </c>
      <c r="C26" s="20" t="s">
        <v>80</v>
      </c>
      <c r="D26" s="20" t="s">
        <v>86</v>
      </c>
      <c r="E26" s="22" t="s">
        <v>87</v>
      </c>
      <c r="F26" s="21" t="s">
        <v>4</v>
      </c>
      <c r="G26" s="23" t="s">
        <v>83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25"/>
      <c r="B27" s="25"/>
      <c r="C27" s="25"/>
      <c r="D27" s="25"/>
      <c r="E27" s="26"/>
      <c r="F27" s="25"/>
      <c r="G27" s="26"/>
    </row>
    <row r="28">
      <c r="A28" s="14" t="s">
        <v>13</v>
      </c>
      <c r="B28" s="15" t="s">
        <v>28</v>
      </c>
      <c r="C28" s="14" t="s">
        <v>31</v>
      </c>
      <c r="D28" s="14" t="s">
        <v>88</v>
      </c>
      <c r="E28" s="16" t="s">
        <v>89</v>
      </c>
      <c r="F28" s="14" t="s">
        <v>2</v>
      </c>
      <c r="G28" s="16" t="s">
        <v>90</v>
      </c>
    </row>
    <row r="29" ht="15.75" customHeight="1">
      <c r="A29" s="25" t="s">
        <v>91</v>
      </c>
      <c r="B29" s="27" t="s">
        <v>28</v>
      </c>
      <c r="C29" s="25" t="s">
        <v>92</v>
      </c>
      <c r="D29" s="25" t="s">
        <v>93</v>
      </c>
      <c r="E29" s="26" t="s">
        <v>94</v>
      </c>
      <c r="F29" s="25" t="s">
        <v>2</v>
      </c>
      <c r="G29" s="26" t="s">
        <v>95</v>
      </c>
    </row>
    <row r="30" ht="15.75" customHeight="1">
      <c r="A30" s="25" t="s">
        <v>91</v>
      </c>
      <c r="B30" s="27" t="s">
        <v>28</v>
      </c>
      <c r="C30" s="25" t="s">
        <v>92</v>
      </c>
      <c r="D30" s="25" t="s">
        <v>96</v>
      </c>
      <c r="E30" s="26" t="s">
        <v>97</v>
      </c>
      <c r="F30" s="25" t="s">
        <v>2</v>
      </c>
      <c r="G30" s="26" t="s">
        <v>98</v>
      </c>
    </row>
    <row r="31" ht="15.75" customHeight="1">
      <c r="A31" s="25" t="s">
        <v>91</v>
      </c>
      <c r="B31" s="27" t="s">
        <v>35</v>
      </c>
      <c r="C31" s="25" t="s">
        <v>92</v>
      </c>
      <c r="D31" s="25" t="s">
        <v>99</v>
      </c>
      <c r="E31" s="26" t="s">
        <v>100</v>
      </c>
      <c r="F31" s="25" t="s">
        <v>2</v>
      </c>
      <c r="G31" s="26"/>
    </row>
    <row r="32" ht="15.75" customHeight="1">
      <c r="A32" s="25" t="s">
        <v>91</v>
      </c>
      <c r="B32" s="27" t="s">
        <v>35</v>
      </c>
      <c r="C32" s="25" t="s">
        <v>92</v>
      </c>
      <c r="D32" s="25" t="s">
        <v>101</v>
      </c>
      <c r="E32" s="26" t="s">
        <v>102</v>
      </c>
      <c r="F32" s="25" t="s">
        <v>2</v>
      </c>
      <c r="G32" s="26"/>
    </row>
    <row r="33" ht="15.75" customHeight="1">
      <c r="A33" s="25" t="s">
        <v>91</v>
      </c>
      <c r="B33" s="27" t="s">
        <v>28</v>
      </c>
      <c r="C33" s="25" t="s">
        <v>92</v>
      </c>
      <c r="D33" s="25" t="s">
        <v>103</v>
      </c>
      <c r="E33" s="26" t="s">
        <v>104</v>
      </c>
      <c r="F33" s="25" t="s">
        <v>2</v>
      </c>
      <c r="G33" s="26"/>
    </row>
    <row r="34" ht="15.75" customHeight="1">
      <c r="A34" s="25" t="s">
        <v>91</v>
      </c>
      <c r="B34" s="27" t="s">
        <v>14</v>
      </c>
      <c r="C34" s="25" t="s">
        <v>105</v>
      </c>
      <c r="D34" s="25" t="s">
        <v>106</v>
      </c>
      <c r="E34" s="26" t="s">
        <v>107</v>
      </c>
      <c r="F34" s="25" t="s">
        <v>2</v>
      </c>
      <c r="G34" s="26" t="s">
        <v>108</v>
      </c>
    </row>
    <row r="35" ht="15.75" customHeight="1">
      <c r="A35" s="25" t="s">
        <v>91</v>
      </c>
      <c r="B35" s="27" t="s">
        <v>14</v>
      </c>
      <c r="C35" s="25" t="s">
        <v>105</v>
      </c>
      <c r="D35" s="25" t="s">
        <v>109</v>
      </c>
      <c r="E35" s="26" t="s">
        <v>110</v>
      </c>
      <c r="F35" s="25" t="s">
        <v>2</v>
      </c>
      <c r="G35" s="26"/>
    </row>
    <row r="36" ht="15.75" customHeight="1">
      <c r="A36" s="25" t="s">
        <v>91</v>
      </c>
      <c r="B36" s="27" t="s">
        <v>14</v>
      </c>
      <c r="C36" s="25" t="s">
        <v>105</v>
      </c>
      <c r="D36" s="25" t="s">
        <v>111</v>
      </c>
      <c r="E36" s="26" t="s">
        <v>112</v>
      </c>
      <c r="F36" s="25" t="s">
        <v>2</v>
      </c>
      <c r="G36" s="26"/>
    </row>
    <row r="37" ht="15.75" customHeight="1">
      <c r="A37" s="25" t="s">
        <v>91</v>
      </c>
      <c r="B37" s="27" t="s">
        <v>14</v>
      </c>
      <c r="C37" s="25" t="s">
        <v>113</v>
      </c>
      <c r="D37" s="25" t="s">
        <v>114</v>
      </c>
      <c r="E37" s="26" t="s">
        <v>115</v>
      </c>
      <c r="F37" s="25" t="s">
        <v>2</v>
      </c>
      <c r="G37" s="26"/>
    </row>
    <row r="38" ht="15.75" customHeight="1">
      <c r="A38" s="25" t="s">
        <v>91</v>
      </c>
      <c r="B38" s="27" t="s">
        <v>14</v>
      </c>
      <c r="C38" s="25" t="s">
        <v>113</v>
      </c>
      <c r="D38" s="25" t="s">
        <v>116</v>
      </c>
      <c r="E38" s="26" t="s">
        <v>117</v>
      </c>
      <c r="F38" s="25" t="s">
        <v>2</v>
      </c>
      <c r="G38" s="26"/>
    </row>
    <row r="39" ht="15.75" customHeight="1">
      <c r="A39" s="25" t="s">
        <v>91</v>
      </c>
      <c r="B39" s="27" t="s">
        <v>14</v>
      </c>
      <c r="C39" s="25" t="s">
        <v>113</v>
      </c>
      <c r="D39" s="25" t="s">
        <v>118</v>
      </c>
      <c r="E39" s="26" t="s">
        <v>119</v>
      </c>
      <c r="F39" s="25" t="s">
        <v>2</v>
      </c>
      <c r="G39" s="26"/>
    </row>
    <row r="40" ht="15.75" customHeight="1">
      <c r="A40" s="25"/>
      <c r="B40" s="27"/>
      <c r="C40" s="25"/>
      <c r="D40" s="25"/>
      <c r="E40" s="26"/>
      <c r="F40" s="25"/>
      <c r="G40" s="26"/>
    </row>
    <row r="41" ht="15.75" customHeight="1">
      <c r="A41" s="25" t="s">
        <v>91</v>
      </c>
      <c r="B41" s="27" t="s">
        <v>39</v>
      </c>
      <c r="C41" s="25" t="s">
        <v>120</v>
      </c>
      <c r="D41" s="25" t="s">
        <v>121</v>
      </c>
      <c r="E41" s="26" t="s">
        <v>122</v>
      </c>
      <c r="F41" s="25" t="s">
        <v>2</v>
      </c>
      <c r="G41" s="26"/>
    </row>
    <row r="42" ht="15.75" customHeight="1">
      <c r="A42" s="25" t="s">
        <v>91</v>
      </c>
      <c r="B42" s="27" t="s">
        <v>39</v>
      </c>
      <c r="C42" s="25" t="s">
        <v>120</v>
      </c>
      <c r="D42" s="25" t="s">
        <v>123</v>
      </c>
      <c r="E42" s="26" t="s">
        <v>124</v>
      </c>
      <c r="F42" s="25" t="s">
        <v>2</v>
      </c>
      <c r="G42" s="26"/>
    </row>
    <row r="43" ht="15.75" customHeight="1">
      <c r="A43" s="25" t="s">
        <v>91</v>
      </c>
      <c r="B43" s="27" t="s">
        <v>39</v>
      </c>
      <c r="C43" s="25" t="s">
        <v>120</v>
      </c>
      <c r="D43" s="25" t="s">
        <v>125</v>
      </c>
      <c r="E43" s="26" t="s">
        <v>126</v>
      </c>
      <c r="F43" s="25" t="s">
        <v>2</v>
      </c>
      <c r="G43" s="26"/>
    </row>
    <row r="44" ht="15.75" customHeight="1">
      <c r="A44" s="25" t="s">
        <v>91</v>
      </c>
      <c r="B44" s="27" t="s">
        <v>39</v>
      </c>
      <c r="C44" s="25" t="s">
        <v>120</v>
      </c>
      <c r="D44" s="25" t="s">
        <v>127</v>
      </c>
      <c r="E44" s="26" t="s">
        <v>128</v>
      </c>
      <c r="F44" s="25" t="s">
        <v>2</v>
      </c>
      <c r="G44" s="26"/>
    </row>
    <row r="45" ht="15.75" customHeight="1">
      <c r="A45" s="25" t="s">
        <v>91</v>
      </c>
      <c r="B45" s="27" t="s">
        <v>39</v>
      </c>
      <c r="C45" s="25" t="s">
        <v>129</v>
      </c>
      <c r="D45" s="25" t="s">
        <v>130</v>
      </c>
      <c r="E45" s="26" t="s">
        <v>131</v>
      </c>
      <c r="F45" s="25" t="s">
        <v>2</v>
      </c>
      <c r="G45" s="26" t="s">
        <v>132</v>
      </c>
    </row>
    <row r="46" ht="15.75" customHeight="1">
      <c r="A46" s="25" t="s">
        <v>91</v>
      </c>
      <c r="B46" s="27" t="s">
        <v>39</v>
      </c>
      <c r="C46" s="25" t="s">
        <v>129</v>
      </c>
      <c r="D46" s="25" t="s">
        <v>133</v>
      </c>
      <c r="E46" s="26" t="s">
        <v>134</v>
      </c>
      <c r="F46" s="25" t="s">
        <v>2</v>
      </c>
      <c r="G46" s="26" t="s">
        <v>135</v>
      </c>
    </row>
    <row r="47" ht="15.75" customHeight="1">
      <c r="A47" s="25" t="s">
        <v>91</v>
      </c>
      <c r="B47" s="27" t="s">
        <v>39</v>
      </c>
      <c r="C47" s="25" t="s">
        <v>129</v>
      </c>
      <c r="D47" s="25" t="s">
        <v>136</v>
      </c>
      <c r="E47" s="26" t="s">
        <v>137</v>
      </c>
      <c r="F47" s="25" t="s">
        <v>2</v>
      </c>
      <c r="G47" s="26"/>
    </row>
    <row r="48" ht="15.75" customHeight="1">
      <c r="A48" s="25" t="s">
        <v>91</v>
      </c>
      <c r="B48" s="27" t="s">
        <v>39</v>
      </c>
      <c r="C48" s="25" t="s">
        <v>138</v>
      </c>
      <c r="D48" s="25" t="s">
        <v>139</v>
      </c>
      <c r="E48" s="26" t="s">
        <v>140</v>
      </c>
      <c r="F48" s="25" t="s">
        <v>2</v>
      </c>
      <c r="G48" s="26" t="s">
        <v>141</v>
      </c>
    </row>
    <row r="49" ht="15.75" customHeight="1">
      <c r="A49" s="25" t="s">
        <v>91</v>
      </c>
      <c r="B49" s="27" t="s">
        <v>39</v>
      </c>
      <c r="C49" s="25" t="s">
        <v>138</v>
      </c>
      <c r="D49" s="25" t="s">
        <v>142</v>
      </c>
      <c r="E49" s="26" t="s">
        <v>143</v>
      </c>
      <c r="F49" s="25" t="s">
        <v>2</v>
      </c>
      <c r="G49" s="26"/>
    </row>
    <row r="50" ht="15.75" customHeight="1">
      <c r="A50" s="25" t="s">
        <v>91</v>
      </c>
      <c r="B50" s="27" t="s">
        <v>39</v>
      </c>
      <c r="C50" s="25" t="s">
        <v>138</v>
      </c>
      <c r="D50" s="25" t="s">
        <v>144</v>
      </c>
      <c r="E50" s="26" t="s">
        <v>145</v>
      </c>
      <c r="F50" s="25" t="s">
        <v>2</v>
      </c>
      <c r="G50" s="26" t="s">
        <v>146</v>
      </c>
    </row>
    <row r="51" ht="15.75" customHeight="1">
      <c r="A51" s="25"/>
      <c r="B51" s="25"/>
      <c r="C51" s="25"/>
      <c r="D51" s="25"/>
      <c r="E51" s="26"/>
      <c r="F51" s="25"/>
      <c r="G51" s="26"/>
    </row>
    <row r="52" ht="15.75" customHeight="1">
      <c r="A52" s="25" t="s">
        <v>91</v>
      </c>
      <c r="B52" s="25" t="s">
        <v>16</v>
      </c>
      <c r="C52" s="25" t="s">
        <v>147</v>
      </c>
      <c r="D52" s="25" t="s">
        <v>148</v>
      </c>
      <c r="E52" s="26" t="s">
        <v>149</v>
      </c>
      <c r="F52" s="25" t="s">
        <v>2</v>
      </c>
      <c r="G52" s="26"/>
    </row>
    <row r="53" ht="15.75" customHeight="1">
      <c r="A53" s="25" t="s">
        <v>91</v>
      </c>
      <c r="B53" s="25" t="s">
        <v>16</v>
      </c>
      <c r="C53" s="25" t="s">
        <v>147</v>
      </c>
      <c r="D53" s="25" t="s">
        <v>150</v>
      </c>
      <c r="E53" s="26" t="s">
        <v>151</v>
      </c>
      <c r="F53" s="25" t="s">
        <v>2</v>
      </c>
      <c r="G53" s="26"/>
    </row>
    <row r="54" ht="15.75" customHeight="1">
      <c r="A54" s="25" t="s">
        <v>91</v>
      </c>
      <c r="B54" s="25" t="s">
        <v>16</v>
      </c>
      <c r="C54" s="25" t="s">
        <v>147</v>
      </c>
      <c r="D54" s="25" t="s">
        <v>152</v>
      </c>
      <c r="E54" s="26" t="s">
        <v>153</v>
      </c>
      <c r="F54" s="25" t="s">
        <v>2</v>
      </c>
      <c r="G54" s="26"/>
    </row>
    <row r="55" ht="15.75" customHeight="1">
      <c r="A55" s="25" t="s">
        <v>91</v>
      </c>
      <c r="B55" s="25" t="s">
        <v>16</v>
      </c>
      <c r="C55" s="25" t="s">
        <v>63</v>
      </c>
      <c r="D55" s="25" t="s">
        <v>154</v>
      </c>
      <c r="E55" s="26" t="s">
        <v>155</v>
      </c>
      <c r="F55" s="25" t="s">
        <v>2</v>
      </c>
      <c r="G55" s="26"/>
    </row>
    <row r="56" ht="15.75" customHeight="1">
      <c r="A56" s="25" t="s">
        <v>91</v>
      </c>
      <c r="B56" s="25" t="s">
        <v>16</v>
      </c>
      <c r="C56" s="25" t="s">
        <v>63</v>
      </c>
      <c r="D56" s="25" t="s">
        <v>156</v>
      </c>
      <c r="E56" s="26" t="s">
        <v>157</v>
      </c>
      <c r="F56" s="25" t="s">
        <v>2</v>
      </c>
      <c r="G56" s="26"/>
    </row>
    <row r="57" ht="15.75" customHeight="1">
      <c r="A57" s="28"/>
      <c r="B57" s="28"/>
      <c r="C57" s="28"/>
      <c r="D57" s="28"/>
      <c r="E57" s="29"/>
      <c r="F57" s="28"/>
      <c r="G57" s="29"/>
    </row>
    <row r="58" ht="15.75" customHeight="1">
      <c r="A58" s="5" t="s">
        <v>158</v>
      </c>
      <c r="B58" s="6" t="s">
        <v>14</v>
      </c>
      <c r="C58" s="5" t="s">
        <v>159</v>
      </c>
      <c r="D58" s="5" t="s">
        <v>160</v>
      </c>
      <c r="E58" s="7" t="s">
        <v>161</v>
      </c>
      <c r="F58" s="6" t="s">
        <v>5</v>
      </c>
      <c r="G58" s="30" t="s">
        <v>162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28" t="s">
        <v>158</v>
      </c>
      <c r="B59" s="31" t="s">
        <v>14</v>
      </c>
      <c r="C59" s="28" t="s">
        <v>163</v>
      </c>
      <c r="D59" s="28" t="s">
        <v>164</v>
      </c>
      <c r="E59" s="29" t="s">
        <v>165</v>
      </c>
      <c r="F59" s="28" t="s">
        <v>2</v>
      </c>
      <c r="G59" s="29" t="s">
        <v>108</v>
      </c>
    </row>
    <row r="60" ht="15.75" customHeight="1">
      <c r="A60" s="28" t="s">
        <v>158</v>
      </c>
      <c r="B60" s="31" t="s">
        <v>14</v>
      </c>
      <c r="C60" s="28" t="s">
        <v>163</v>
      </c>
      <c r="D60" s="28" t="s">
        <v>166</v>
      </c>
      <c r="E60" s="29" t="s">
        <v>167</v>
      </c>
      <c r="F60" s="28" t="s">
        <v>2</v>
      </c>
      <c r="G60" s="29"/>
    </row>
    <row r="61" ht="15.75" customHeight="1">
      <c r="A61" s="28" t="s">
        <v>158</v>
      </c>
      <c r="B61" s="31" t="s">
        <v>14</v>
      </c>
      <c r="C61" s="28" t="s">
        <v>168</v>
      </c>
      <c r="D61" s="28" t="s">
        <v>169</v>
      </c>
      <c r="E61" s="29" t="s">
        <v>170</v>
      </c>
      <c r="F61" s="28" t="s">
        <v>2</v>
      </c>
      <c r="G61" s="29"/>
    </row>
    <row r="62" ht="15.75" customHeight="1">
      <c r="A62" s="5" t="s">
        <v>158</v>
      </c>
      <c r="B62" s="6" t="s">
        <v>14</v>
      </c>
      <c r="C62" s="5" t="s">
        <v>168</v>
      </c>
      <c r="D62" s="5" t="s">
        <v>171</v>
      </c>
      <c r="E62" s="7" t="s">
        <v>172</v>
      </c>
      <c r="F62" s="6" t="s">
        <v>5</v>
      </c>
      <c r="G62" s="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" t="s">
        <v>158</v>
      </c>
      <c r="B63" s="6" t="s">
        <v>14</v>
      </c>
      <c r="C63" s="5" t="s">
        <v>168</v>
      </c>
      <c r="D63" s="5" t="s">
        <v>173</v>
      </c>
      <c r="E63" s="7" t="s">
        <v>174</v>
      </c>
      <c r="F63" s="6" t="s">
        <v>5</v>
      </c>
      <c r="G63" s="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5" t="s">
        <v>158</v>
      </c>
      <c r="B64" s="6" t="s">
        <v>14</v>
      </c>
      <c r="C64" s="5" t="s">
        <v>168</v>
      </c>
      <c r="D64" s="5" t="s">
        <v>175</v>
      </c>
      <c r="E64" s="7" t="s">
        <v>176</v>
      </c>
      <c r="F64" s="6" t="s">
        <v>5</v>
      </c>
      <c r="G64" s="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28" t="s">
        <v>158</v>
      </c>
      <c r="B65" s="31" t="s">
        <v>14</v>
      </c>
      <c r="C65" s="28" t="s">
        <v>168</v>
      </c>
      <c r="D65" s="28" t="s">
        <v>177</v>
      </c>
      <c r="E65" s="29" t="s">
        <v>178</v>
      </c>
      <c r="F65" s="28" t="s">
        <v>2</v>
      </c>
      <c r="G65" s="29" t="s">
        <v>179</v>
      </c>
    </row>
    <row r="66" ht="15.75" customHeight="1">
      <c r="A66" s="28" t="s">
        <v>158</v>
      </c>
      <c r="B66" s="31" t="s">
        <v>14</v>
      </c>
      <c r="C66" s="28" t="s">
        <v>168</v>
      </c>
      <c r="D66" s="28" t="s">
        <v>180</v>
      </c>
      <c r="E66" s="29" t="s">
        <v>181</v>
      </c>
      <c r="F66" s="28" t="s">
        <v>2</v>
      </c>
      <c r="G66" s="29"/>
    </row>
    <row r="67" ht="15.75" customHeight="1">
      <c r="A67" s="28" t="s">
        <v>158</v>
      </c>
      <c r="B67" s="31" t="s">
        <v>14</v>
      </c>
      <c r="C67" s="28" t="s">
        <v>182</v>
      </c>
      <c r="D67" s="28" t="s">
        <v>183</v>
      </c>
      <c r="E67" s="29" t="s">
        <v>184</v>
      </c>
      <c r="F67" s="28" t="s">
        <v>2</v>
      </c>
      <c r="G67" s="29" t="s">
        <v>185</v>
      </c>
    </row>
    <row r="68" ht="15.75" customHeight="1">
      <c r="A68" s="28" t="s">
        <v>158</v>
      </c>
      <c r="B68" s="31" t="s">
        <v>14</v>
      </c>
      <c r="C68" s="28" t="s">
        <v>182</v>
      </c>
      <c r="D68" s="28" t="s">
        <v>186</v>
      </c>
      <c r="E68" s="32" t="s">
        <v>187</v>
      </c>
      <c r="F68" s="28" t="s">
        <v>2</v>
      </c>
      <c r="G68" s="29" t="s">
        <v>188</v>
      </c>
    </row>
    <row r="69" ht="15.75" customHeight="1">
      <c r="A69" s="28" t="s">
        <v>158</v>
      </c>
      <c r="B69" s="31" t="s">
        <v>14</v>
      </c>
      <c r="C69" s="28" t="s">
        <v>182</v>
      </c>
      <c r="D69" s="28" t="s">
        <v>189</v>
      </c>
      <c r="E69" s="29" t="s">
        <v>190</v>
      </c>
      <c r="F69" s="28" t="s">
        <v>2</v>
      </c>
      <c r="G69" s="29"/>
    </row>
    <row r="70" ht="15.75" customHeight="1"/>
    <row r="71" ht="15.75" customHeight="1"/>
    <row r="72" ht="15.75" customHeight="1"/>
    <row r="73" ht="15.75" customHeight="1">
      <c r="F73" s="33" t="s">
        <v>14</v>
      </c>
    </row>
    <row r="74" ht="15.75" customHeight="1"/>
    <row r="75" ht="15.75" customHeight="1">
      <c r="F75" s="33" t="s">
        <v>39</v>
      </c>
    </row>
    <row r="76" ht="15.75" customHeight="1"/>
    <row r="77" ht="15.75" customHeight="1">
      <c r="F77" s="33" t="s">
        <v>35</v>
      </c>
    </row>
    <row r="78" ht="15.75" customHeight="1"/>
    <row r="79" ht="15.75" customHeight="1"/>
    <row r="80" ht="15.75" customHeight="1"/>
    <row r="81" ht="15.75" customHeight="1">
      <c r="E81" s="33" t="s">
        <v>191</v>
      </c>
      <c r="F81" s="33" t="s">
        <v>192</v>
      </c>
    </row>
    <row r="82" ht="15.75" customHeight="1">
      <c r="E82" s="33" t="s">
        <v>193</v>
      </c>
      <c r="F82" s="33" t="s">
        <v>194</v>
      </c>
    </row>
    <row r="83" ht="15.75" customHeight="1">
      <c r="E83" s="33" t="s">
        <v>195</v>
      </c>
      <c r="F83" s="33" t="s">
        <v>194</v>
      </c>
    </row>
    <row r="84" ht="15.75" customHeight="1">
      <c r="E84" s="33" t="s">
        <v>196</v>
      </c>
      <c r="F84" s="33" t="s">
        <v>194</v>
      </c>
    </row>
    <row r="85" ht="15.75" customHeight="1">
      <c r="E85" s="33" t="s">
        <v>197</v>
      </c>
    </row>
    <row r="86" ht="15.75" customHeight="1"/>
    <row r="87" ht="15.75" customHeight="1">
      <c r="B87" s="33" t="s">
        <v>198</v>
      </c>
      <c r="C87" s="33" t="s">
        <v>199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B$1:$B$1004"/>
  <dataValidations>
    <dataValidation type="list" allowBlank="1" sqref="F2:F6 F8:F69">
      <formula1>"Not Started,In Progress,Blocked,Done"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4" width="12.0"/>
    <col customWidth="1" min="5" max="6" width="1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4">
        <f>COUNTIF(Tasks!$B$2:$B$69,A2)</f>
        <v>0</v>
      </c>
      <c r="C2" s="4">
        <f>COUNTIFS(Tasks!$B$2:$B$69,A2,Tasks!$F$2:$F$69,"Not Started")</f>
        <v>0</v>
      </c>
      <c r="D2" s="4">
        <f>COUNTIFS(Tasks!$B$2:$B$69,A2,Tasks!$F$2:$F$69,"In Progress")</f>
        <v>0</v>
      </c>
      <c r="E2" s="4">
        <f>COUNTIFS(Tasks!$B$2:$B$69,A2,Tasks!$F$2:$F$69,"Blocked")</f>
        <v>0</v>
      </c>
      <c r="F2" s="4">
        <f>COUNTIFS(Tasks!$B$2:$B$69,A2,Tasks!$F$2:$F$69,"Done")</f>
        <v>0</v>
      </c>
    </row>
    <row r="3">
      <c r="A3" s="2" t="s">
        <v>16</v>
      </c>
      <c r="B3" s="4">
        <f>COUNTIF(Tasks!$B$2:$B$69,A3)</f>
        <v>5</v>
      </c>
      <c r="C3" s="4">
        <f>COUNTIFS(Tasks!$B$2:$B$69,A3,Tasks!$F$2:$F$69,"Not Started")</f>
        <v>5</v>
      </c>
      <c r="D3" s="4">
        <f>COUNTIFS(Tasks!$B$2:$B$69,A3,Tasks!$F$2:$F$69,"In Progress")</f>
        <v>0</v>
      </c>
      <c r="E3" s="4">
        <f>COUNTIFS(Tasks!$B$2:$B$69,A3,Tasks!$F$2:$F$69,"Blocked")</f>
        <v>0</v>
      </c>
      <c r="F3" s="4">
        <f>COUNTIFS(Tasks!$B$2:$B$69,A3,Tasks!$F$2:$F$69,"Done")</f>
        <v>0</v>
      </c>
    </row>
    <row r="4">
      <c r="A4" s="2" t="s">
        <v>20</v>
      </c>
      <c r="B4" s="4">
        <f>COUNTIF(Tasks!$B$2:$B$69,A4)</f>
        <v>1</v>
      </c>
      <c r="C4" s="4">
        <f>COUNTIFS(Tasks!$B$2:$B$69,A4,Tasks!$F$2:$F$69,"Not Started")</f>
        <v>1</v>
      </c>
      <c r="D4" s="4">
        <f>COUNTIFS(Tasks!$B$2:$B$69,A4,Tasks!$F$2:$F$69,"In Progress")</f>
        <v>0</v>
      </c>
      <c r="E4" s="4">
        <f>COUNTIFS(Tasks!$B$2:$B$69,A4,Tasks!$F$2:$F$69,"Blocked")</f>
        <v>0</v>
      </c>
      <c r="F4" s="4">
        <f>COUNTIFS(Tasks!$B$2:$B$69,A4,Tasks!$F$2:$F$69,"Done")</f>
        <v>0</v>
      </c>
    </row>
    <row r="5">
      <c r="A5" s="2" t="s">
        <v>27</v>
      </c>
      <c r="B5" s="4">
        <f>COUNTIF(Tasks!$B$2:$B$69,A5)</f>
        <v>0</v>
      </c>
      <c r="C5" s="4">
        <f>COUNTIFS(Tasks!$B$2:$B$69,A5,Tasks!$F$2:$F$69,"Not Started")</f>
        <v>0</v>
      </c>
      <c r="D5" s="4">
        <f>COUNTIFS(Tasks!$B$2:$B$69,A5,Tasks!$F$2:$F$69,"In Progress")</f>
        <v>0</v>
      </c>
      <c r="E5" s="4">
        <f>COUNTIFS(Tasks!$B$2:$B$69,A5,Tasks!$F$2:$F$69,"Blocked")</f>
        <v>0</v>
      </c>
      <c r="F5" s="4">
        <f>COUNTIFS(Tasks!$B$2:$B$69,A5,Tasks!$F$2:$F$69,"Done")</f>
        <v>0</v>
      </c>
    </row>
    <row r="6">
      <c r="A6" s="2" t="s">
        <v>29</v>
      </c>
      <c r="B6" s="4">
        <f>COUNTIF(Tasks!$B$2:$B$69,A6)</f>
        <v>1</v>
      </c>
      <c r="C6" s="4">
        <f>COUNTIFS(Tasks!$B$2:$B$69,A6,Tasks!$F$2:$F$69,"Not Started")</f>
        <v>0</v>
      </c>
      <c r="D6" s="4">
        <f>COUNTIFS(Tasks!$B$2:$B$69,A6,Tasks!$F$2:$F$69,"In Progress")</f>
        <v>1</v>
      </c>
      <c r="E6" s="4">
        <f>COUNTIFS(Tasks!$B$2:$B$69,A6,Tasks!$F$2:$F$69,"Blocked")</f>
        <v>0</v>
      </c>
      <c r="F6" s="4">
        <f>COUNTIFS(Tasks!$B$2:$B$69,A6,Tasks!$F$2:$F$69,"Done")</f>
        <v>0</v>
      </c>
    </row>
    <row r="7">
      <c r="A7" s="2" t="s">
        <v>28</v>
      </c>
      <c r="B7" s="4">
        <f>COUNTIF(Tasks!$B$2:$B$69,A7)</f>
        <v>12</v>
      </c>
      <c r="C7" s="4">
        <f>COUNTIFS(Tasks!$B$2:$B$69,A7,Tasks!$F$2:$F$69,"Not Started")</f>
        <v>11</v>
      </c>
      <c r="D7" s="4">
        <f>COUNTIFS(Tasks!$B$2:$B$69,A7,Tasks!$F$2:$F$69,"In Progress")</f>
        <v>1</v>
      </c>
      <c r="E7" s="4">
        <f>COUNTIFS(Tasks!$B$2:$B$69,A7,Tasks!$F$2:$F$69,"Blocked")</f>
        <v>0</v>
      </c>
      <c r="F7" s="4">
        <f>COUNTIFS(Tasks!$B$2:$B$69,A7,Tasks!$F$2:$F$69,"Done")</f>
        <v>0</v>
      </c>
    </row>
    <row r="8">
      <c r="A8" s="17" t="s">
        <v>43</v>
      </c>
      <c r="B8" s="17">
        <f t="shared" ref="B8:F8" si="1">SUM(B2:B7)</f>
        <v>19</v>
      </c>
      <c r="C8" s="17">
        <f t="shared" si="1"/>
        <v>17</v>
      </c>
      <c r="D8" s="17">
        <f t="shared" si="1"/>
        <v>2</v>
      </c>
      <c r="E8" s="17">
        <f t="shared" si="1"/>
        <v>0</v>
      </c>
      <c r="F8" s="17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2026-07-26T13:29:09Z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